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mento Mensal" sheetId="1" r:id="rId5"/>
    <sheet state="visible" name="Tabela de apoio" sheetId="2" r:id="rId6"/>
  </sheets>
  <definedNames>
    <definedName name="patrimonio">'Investimento Mensal'!$C$14</definedName>
    <definedName name="sugestão_investimento">'Investimento Mensal'!$H$13</definedName>
    <definedName name="aporte">'Investimento Mensal'!$C$11</definedName>
    <definedName name="rendimento_carteira">'Investimento Mensal'!$H$12</definedName>
    <definedName name="salario">'Investimento Mensal'!$H$11</definedName>
    <definedName name="quantidade_anos">'Investimento Mensal'!$C$12</definedName>
    <definedName name="taxa_mensal">'Investimento Mensal'!$C$13</definedName>
  </definedNames>
  <calcPr/>
</workbook>
</file>

<file path=xl/sharedStrings.xml><?xml version="1.0" encoding="utf-8"?>
<sst xmlns="http://schemas.openxmlformats.org/spreadsheetml/2006/main" count="45" uniqueCount="32">
  <si>
    <t>Investimento Mensal</t>
  </si>
  <si>
    <t>Configurações</t>
  </si>
  <si>
    <t>Quanto Investir por mês?</t>
  </si>
  <si>
    <t xml:space="preserve">Salário </t>
  </si>
  <si>
    <t>Por Quantos Anos?</t>
  </si>
  <si>
    <t xml:space="preserve">Rendimento de carteira </t>
  </si>
  <si>
    <t>Taxa de Rendimentos mensal</t>
  </si>
  <si>
    <t xml:space="preserve">Sugestão   Investimento </t>
  </si>
  <si>
    <t>Patrimonio Acumulado?</t>
  </si>
  <si>
    <t>Dividendos Mensais?</t>
  </si>
  <si>
    <t>PERFIL</t>
  </si>
  <si>
    <t>Conservador</t>
  </si>
  <si>
    <t>Valor a ser investido Mês</t>
  </si>
  <si>
    <t xml:space="preserve">Cenários </t>
  </si>
  <si>
    <t>Dividendo</t>
  </si>
  <si>
    <t>Quanto em 2 Anos?</t>
  </si>
  <si>
    <t>Tipo de Fii</t>
  </si>
  <si>
    <t>Percentual sugerido</t>
  </si>
  <si>
    <t>Valores</t>
  </si>
  <si>
    <t>Quanto em 5 Anos?</t>
  </si>
  <si>
    <t>PAPEL</t>
  </si>
  <si>
    <t>Quanto em 10 Anos?</t>
  </si>
  <si>
    <t>TIJOLO</t>
  </si>
  <si>
    <t>Quanto em 20 Anos?</t>
  </si>
  <si>
    <t>HIBRIDOS</t>
  </si>
  <si>
    <t>Quanto em 30 Anos?</t>
  </si>
  <si>
    <t>fOFs</t>
  </si>
  <si>
    <t>Desenvol</t>
  </si>
  <si>
    <t>Hortelaria</t>
  </si>
  <si>
    <t>CHAVE</t>
  </si>
  <si>
    <t>TIPO DE FII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</si>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</sst>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_);[Red]\(&quot;R$&quot;\ #,###.00\)"/>
    <numFmt numFmtId="165" formatCode="0_);[Red]\(0\)"/>
    <numFmt numFmtId="166" formatCode="&quot;R$&quot;#,##0.00;[Red]\-&quot;R$&quot;#,##0.00"/>
  </numFmts>
  <fonts count="12">
    <font>
      <sz val="10.0"/>
      <color theme="1"/>
      <name val="Calibri"/>
      <scheme val="minor"/>
    </font>
    <font>
      <sz val="20.0"/>
      <color theme="0"/>
      <name val="Calibri"/>
    </font>
    <font>
      <sz val="20.0"/>
      <color theme="1"/>
      <name val="Calibri"/>
    </font>
    <font>
      <sz val="10.0"/>
      <color theme="1"/>
      <name val="Calibri"/>
    </font>
    <font>
      <sz val="14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rgb="FF808000"/>
      <name val="Calibri"/>
    </font>
    <font>
      <sz val="12.0"/>
      <color theme="0"/>
      <name val="Calibri"/>
    </font>
    <font>
      <sz val="10.0"/>
      <color theme="0"/>
      <name val="Calibri"/>
    </font>
    <font>
      <b/>
      <sz val="10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CC00"/>
        <bgColor rgb="FFFFCC00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  <fill>
      <patternFill patternType="solid">
        <fgColor rgb="FFFFD965"/>
        <bgColor rgb="FFFFD965"/>
      </patternFill>
    </fill>
  </fills>
  <borders count="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shrinkToFit="0" vertical="top" wrapText="0"/>
    </xf>
    <xf borderId="2" fillId="2" fontId="2" numFmtId="0" xfId="0" applyAlignment="1" applyBorder="1" applyFont="1">
      <alignment horizontal="left" shrinkToFit="0" vertical="top" wrapText="0"/>
    </xf>
    <xf borderId="3" fillId="2" fontId="3" numFmtId="0" xfId="0" applyAlignment="1" applyBorder="1" applyFont="1">
      <alignment horizontal="left" shrinkToFit="0" vertical="top" wrapText="0"/>
    </xf>
    <xf borderId="4" fillId="2" fontId="3" numFmtId="0" xfId="0" applyAlignment="1" applyBorder="1" applyFont="1">
      <alignment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shrinkToFit="0" vertical="center" wrapText="0"/>
    </xf>
    <xf borderId="7" fillId="0" fontId="3" numFmtId="164" xfId="0" applyAlignment="1" applyBorder="1" applyFont="1" applyNumberFormat="1">
      <alignment horizontal="center"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164" xfId="0" applyAlignment="1" applyBorder="1" applyFont="1" applyNumberFormat="1">
      <alignment shrinkToFit="0" vertical="center" wrapText="0"/>
    </xf>
    <xf borderId="7" fillId="0" fontId="3" numFmtId="165" xfId="0" applyAlignment="1" applyBorder="1" applyFont="1" applyNumberFormat="1">
      <alignment horizontal="center" shrinkToFit="0" vertical="center" wrapText="0"/>
    </xf>
    <xf borderId="7" fillId="2" fontId="3" numFmtId="10" xfId="0" applyAlignment="1" applyBorder="1" applyFont="1" applyNumberFormat="1">
      <alignment shrinkToFit="0" vertical="center" wrapText="0"/>
    </xf>
    <xf borderId="7" fillId="0" fontId="3" numFmtId="10" xfId="0" applyAlignment="1" applyBorder="1" applyFont="1" applyNumberFormat="1">
      <alignment horizontal="center" shrinkToFit="0" vertical="center" wrapText="0"/>
    </xf>
    <xf borderId="7" fillId="4" fontId="3" numFmtId="0" xfId="0" applyAlignment="1" applyBorder="1" applyFill="1" applyFont="1">
      <alignment shrinkToFit="0" vertical="center" wrapText="0"/>
    </xf>
    <xf borderId="7" fillId="4" fontId="3" numFmtId="164" xfId="0" applyAlignment="1" applyBorder="1" applyFont="1" applyNumberFormat="1">
      <alignment shrinkToFit="0" vertical="center" wrapText="0"/>
    </xf>
    <xf borderId="7" fillId="5" fontId="6" numFmtId="0" xfId="0" applyAlignment="1" applyBorder="1" applyFill="1" applyFont="1">
      <alignment shrinkToFit="0" vertical="center" wrapText="0"/>
    </xf>
    <xf borderId="7" fillId="5" fontId="3" numFmtId="166" xfId="0" applyAlignment="1" applyBorder="1" applyFont="1" applyNumberFormat="1">
      <alignment horizontal="center" shrinkToFit="0" vertical="center" wrapText="0"/>
    </xf>
    <xf borderId="7" fillId="5" fontId="3" numFmtId="0" xfId="0" applyAlignment="1" applyBorder="1" applyFont="1">
      <alignment shrinkToFit="0" vertical="center" wrapText="0"/>
    </xf>
    <xf borderId="7" fillId="5" fontId="3" numFmtId="164" xfId="0" applyAlignment="1" applyBorder="1" applyFont="1" applyNumberFormat="1">
      <alignment horizontal="center" shrinkToFit="0" vertical="center" wrapText="0"/>
    </xf>
    <xf borderId="4" fillId="6" fontId="7" numFmtId="0" xfId="0" applyAlignment="1" applyBorder="1" applyFill="1" applyFont="1">
      <alignment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shrinkToFit="0" vertical="center" wrapText="0"/>
    </xf>
    <xf borderId="4" fillId="5" fontId="3" numFmtId="164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top" wrapText="0"/>
    </xf>
    <xf borderId="0" fillId="0" fontId="9" numFmtId="0" xfId="0" applyAlignment="1" applyFont="1">
      <alignment shrinkToFit="0" vertical="center" wrapText="0"/>
    </xf>
    <xf borderId="7" fillId="0" fontId="3" numFmtId="166" xfId="0" applyAlignment="1" applyBorder="1" applyFont="1" applyNumberFormat="1">
      <alignment shrinkToFit="0" vertical="center" wrapText="0"/>
    </xf>
    <xf borderId="4" fillId="7" fontId="10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9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4" fillId="2" fontId="3" numFmtId="164" xfId="0" applyAlignment="1" applyBorder="1" applyFont="1" applyNumberFormat="1">
      <alignment shrinkToFit="0" vertical="center" wrapText="0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0</xdr:row>
      <xdr:rowOff>95250</xdr:rowOff>
    </xdr:from>
    <xdr:ext cx="6524625" cy="1209675"/>
    <xdr:pic>
      <xdr:nvPicPr>
        <xdr:cNvPr descr="Dio Invest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2.43"/>
    <col customWidth="1" min="3" max="3" width="36.43"/>
    <col customWidth="1" min="4" max="4" width="8.0"/>
    <col customWidth="1" min="5" max="5" width="20.43"/>
    <col customWidth="1" min="6" max="6" width="8.0"/>
    <col customWidth="1" min="7" max="7" width="22.57"/>
    <col customWidth="1" min="8" max="8" width="17.86"/>
    <col customWidth="1" min="9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3.5" customHeight="1"/>
    <row r="10" ht="28.5" customHeight="1">
      <c r="B10" s="1" t="s">
        <v>0</v>
      </c>
      <c r="C10" s="2"/>
      <c r="D10" s="3"/>
      <c r="E10" s="4"/>
      <c r="G10" s="5" t="s">
        <v>1</v>
      </c>
      <c r="H10" s="6"/>
    </row>
    <row r="11" ht="15.75" customHeight="1">
      <c r="B11" s="7" t="s">
        <v>2</v>
      </c>
      <c r="C11" s="8">
        <v>500.0</v>
      </c>
      <c r="D11" s="9"/>
      <c r="E11" s="9"/>
      <c r="G11" s="9" t="s">
        <v>3</v>
      </c>
      <c r="H11" s="10">
        <v>5000.0</v>
      </c>
    </row>
    <row r="12" ht="15.75" customHeight="1">
      <c r="B12" s="7" t="s">
        <v>4</v>
      </c>
      <c r="C12" s="11">
        <v>5.0</v>
      </c>
      <c r="D12" s="9"/>
      <c r="E12" s="9"/>
      <c r="G12" s="9" t="s">
        <v>5</v>
      </c>
      <c r="H12" s="12">
        <v>0.006</v>
      </c>
    </row>
    <row r="13" ht="15.75" customHeight="1">
      <c r="B13" s="7" t="s">
        <v>6</v>
      </c>
      <c r="C13" s="13">
        <v>0.01079</v>
      </c>
      <c r="D13" s="9"/>
      <c r="E13" s="9"/>
      <c r="G13" s="14" t="s">
        <v>7</v>
      </c>
      <c r="H13" s="15">
        <f>H11*30%</f>
        <v>1500</v>
      </c>
    </row>
    <row r="14" ht="15.75" customHeight="1">
      <c r="B14" s="16" t="s">
        <v>8</v>
      </c>
      <c r="C14" s="17">
        <f>FV(taxa_mensal,quantidade_anos*12,+aporte*-1)</f>
        <v>41888.457</v>
      </c>
      <c r="D14" s="18"/>
      <c r="E14" s="18"/>
      <c r="G14" s="9"/>
      <c r="H14" s="9"/>
    </row>
    <row r="15" ht="15.75" customHeight="1">
      <c r="B15" s="16" t="s">
        <v>9</v>
      </c>
      <c r="C15" s="19">
        <f>C14*$H$12</f>
        <v>251.330742</v>
      </c>
      <c r="D15" s="18"/>
      <c r="E15" s="18"/>
    </row>
    <row r="16" ht="15.0" customHeight="1">
      <c r="B16" s="9"/>
      <c r="C16" s="9"/>
      <c r="D16" s="9"/>
      <c r="E16" s="9"/>
      <c r="G16" s="20" t="s">
        <v>10</v>
      </c>
      <c r="H16" s="21" t="s">
        <v>11</v>
      </c>
    </row>
    <row r="17" ht="13.5" customHeight="1">
      <c r="G17" s="22" t="s">
        <v>12</v>
      </c>
      <c r="H17" s="23">
        <f>C$11</f>
        <v>500</v>
      </c>
    </row>
    <row r="18" ht="26.25" customHeight="1">
      <c r="B18" s="1" t="s">
        <v>13</v>
      </c>
      <c r="C18" s="1"/>
      <c r="D18" s="1"/>
      <c r="E18" s="24" t="s">
        <v>14</v>
      </c>
    </row>
    <row r="19" ht="12.75" customHeight="1">
      <c r="A19" s="25">
        <v>2.0</v>
      </c>
      <c r="B19" s="9" t="s">
        <v>15</v>
      </c>
      <c r="C19" s="26">
        <f t="shared" ref="C19:C23" si="1">FV($C$13,$A19*12,$C$11*-1)</f>
        <v>13613.81365</v>
      </c>
      <c r="D19" s="9"/>
      <c r="E19" s="26">
        <f>C19*rendimento_carteira</f>
        <v>81.68288189</v>
      </c>
      <c r="F19" s="27" t="s">
        <v>16</v>
      </c>
      <c r="G19" s="27" t="s">
        <v>17</v>
      </c>
      <c r="H19" s="27" t="s">
        <v>18</v>
      </c>
    </row>
    <row r="20" ht="12.75" customHeight="1">
      <c r="A20" s="25">
        <v>5.0</v>
      </c>
      <c r="B20" s="9" t="s">
        <v>19</v>
      </c>
      <c r="C20" s="26">
        <f t="shared" si="1"/>
        <v>41888.457</v>
      </c>
      <c r="D20" s="9"/>
      <c r="E20" s="26">
        <f>C20*rendimento_carteira</f>
        <v>251.330742</v>
      </c>
      <c r="F20" s="28" t="s">
        <v>20</v>
      </c>
      <c r="G20" s="29">
        <v>0.3</v>
      </c>
      <c r="H20" s="30">
        <f t="shared" ref="H20:H25" si="2">G20*$H$17</f>
        <v>150</v>
      </c>
    </row>
    <row r="21" ht="12.75" customHeight="1">
      <c r="A21" s="25">
        <v>10.0</v>
      </c>
      <c r="B21" s="9" t="s">
        <v>21</v>
      </c>
      <c r="C21" s="26">
        <f t="shared" si="1"/>
        <v>121642.1063</v>
      </c>
      <c r="D21" s="9"/>
      <c r="E21" s="26">
        <f>C21*rendimento_carteira</f>
        <v>729.8526376</v>
      </c>
      <c r="F21" s="28" t="s">
        <v>22</v>
      </c>
      <c r="G21" s="29">
        <v>0.5</v>
      </c>
      <c r="H21" s="30">
        <f t="shared" si="2"/>
        <v>250</v>
      </c>
    </row>
    <row r="22" ht="12.75" customHeight="1">
      <c r="A22" s="25">
        <v>20.0</v>
      </c>
      <c r="B22" s="9" t="s">
        <v>23</v>
      </c>
      <c r="C22" s="26">
        <f t="shared" si="1"/>
        <v>562599.2</v>
      </c>
      <c r="D22" s="9"/>
      <c r="E22" s="26">
        <f>C22*rendimento_carteira</f>
        <v>3375.5952</v>
      </c>
      <c r="F22" s="28" t="s">
        <v>24</v>
      </c>
      <c r="G22" s="29">
        <v>0.1</v>
      </c>
      <c r="H22" s="30">
        <f t="shared" si="2"/>
        <v>50</v>
      </c>
    </row>
    <row r="23" ht="12.75" customHeight="1">
      <c r="A23" s="25">
        <v>30.0</v>
      </c>
      <c r="B23" s="9" t="s">
        <v>25</v>
      </c>
      <c r="C23" s="26">
        <f t="shared" si="1"/>
        <v>2161084.828</v>
      </c>
      <c r="D23" s="9"/>
      <c r="E23" s="26">
        <f>C23*rendimento_carteira</f>
        <v>12966.50897</v>
      </c>
      <c r="F23" s="28" t="s">
        <v>26</v>
      </c>
      <c r="G23" s="29">
        <v>0.05</v>
      </c>
      <c r="H23" s="30">
        <f t="shared" si="2"/>
        <v>25</v>
      </c>
    </row>
    <row r="24" ht="12.75" customHeight="1">
      <c r="F24" s="28" t="s">
        <v>27</v>
      </c>
      <c r="G24" s="29">
        <v>0.03</v>
      </c>
      <c r="H24" s="30">
        <f t="shared" si="2"/>
        <v>15</v>
      </c>
    </row>
    <row r="25" ht="12.75" customHeight="1">
      <c r="F25" s="28" t="s">
        <v>28</v>
      </c>
      <c r="G25" s="29">
        <v>0.1</v>
      </c>
      <c r="H25" s="30">
        <f t="shared" si="2"/>
        <v>50</v>
      </c>
    </row>
    <row r="26" ht="12.75" customHeight="1">
      <c r="F26" s="4"/>
      <c r="G26" s="4"/>
      <c r="H26" s="31">
        <f>SUM(H20:H25)</f>
        <v>540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H16">
      <formula1>"Conservador,Moderado,Agressivo"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8.0"/>
    <col customWidth="1" min="4" max="4" width="15.29"/>
    <col customWidth="1" min="5" max="26" width="8.0"/>
  </cols>
  <sheetData>
    <row r="1" ht="12.75" customHeight="1"/>
    <row r="2" ht="12.75" customHeight="1"/>
    <row r="3" ht="12.75" customHeight="1"/>
    <row r="4" ht="12.75" customHeight="1"/>
    <row r="5" ht="12.75" customHeight="1">
      <c r="A5" s="32" t="s">
        <v>29</v>
      </c>
      <c r="B5" s="28" t="s">
        <v>10</v>
      </c>
      <c r="C5" s="28" t="s">
        <v>30</v>
      </c>
      <c r="D5" s="28" t="s">
        <v>31</v>
      </c>
    </row>
    <row r="6" ht="12.75" customHeight="1">
      <c r="B6" s="32" t="s">
        <v>11</v>
      </c>
      <c r="C6" s="28" t="s">
        <v>20</v>
      </c>
      <c r="D6" s="29">
        <v>0.3</v>
      </c>
    </row>
    <row r="7" ht="12.75" customHeight="1">
      <c r="B7" s="32" t="s">
        <v>11</v>
      </c>
      <c r="C7" s="28" t="s">
        <v>22</v>
      </c>
      <c r="D7" s="29">
        <v>0.5</v>
      </c>
    </row>
    <row r="8" ht="12.75" customHeight="1">
      <c r="B8" s="32" t="s">
        <v>11</v>
      </c>
      <c r="C8" s="28" t="s">
        <v>24</v>
      </c>
      <c r="D8" s="29">
        <v>0.1</v>
      </c>
    </row>
    <row r="9" ht="12.75" customHeight="1">
      <c r="B9" s="32" t="s">
        <v>11</v>
      </c>
      <c r="C9" s="28" t="s">
        <v>26</v>
      </c>
      <c r="D9" s="29">
        <v>0.05</v>
      </c>
    </row>
    <row r="10" ht="12.75" customHeight="1">
      <c r="B10" s="32" t="s">
        <v>11</v>
      </c>
      <c r="C10" s="28" t="s">
        <v>27</v>
      </c>
      <c r="D10" s="29">
        <v>0.03</v>
      </c>
    </row>
    <row r="11" ht="12.75" customHeight="1">
      <c r="B11" s="32" t="s">
        <v>11</v>
      </c>
      <c r="C11" s="28" t="s">
        <v>28</v>
      </c>
      <c r="D11" s="29">
        <v>0.1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